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 da h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34E"/>
      <sz val="10"/>
    </font>
    <font>
      <name val="Calibri"/>
      <b val="1"/>
      <color rgb="001F6B58"/>
      <sz val="11"/>
    </font>
    <font>
      <name val="Calibri"/>
      <color rgb="001B211E"/>
      <sz val="11"/>
    </font>
    <font>
      <name val="Calibri"/>
      <sz val="11"/>
    </font>
    <font>
      <name val="Calibri"/>
      <i val="1"/>
      <color rgb="007C857F"/>
      <sz val="9"/>
    </font>
    <font>
      <name val="Calibri"/>
      <b val="1"/>
      <color rgb="001F6B58"/>
      <sz val="13"/>
    </font>
  </fonts>
  <fills count="6">
    <fill>
      <patternFill/>
    </fill>
    <fill>
      <patternFill patternType="gray125"/>
    </fill>
    <fill>
      <patternFill patternType="solid">
        <fgColor rgb="001F6B58"/>
      </patternFill>
    </fill>
    <fill>
      <patternFill patternType="solid">
        <fgColor rgb="00EDEFEA"/>
      </patternFill>
    </fill>
    <fill>
      <patternFill patternType="solid">
        <fgColor rgb="00FFF4CE"/>
      </patternFill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CEC6"/>
      </left>
      <right style="thin">
        <color rgb="00C9CEC6"/>
      </right>
      <top style="thin">
        <color rgb="00C9CEC6"/>
      </top>
      <bottom style="thin">
        <color rgb="00C9CEC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64" fontId="5" fillId="4" borderId="1" pivotButton="0" quotePrefix="0" xfId="0"/>
    <xf numFmtId="0" fontId="6" fillId="0" borderId="0" pivotButton="0" quotePrefix="0" xfId="0"/>
    <xf numFmtId="0" fontId="3" fillId="0" borderId="0" pivotButton="0" quotePrefix="0" xfId="0"/>
    <xf numFmtId="164" fontId="7" fillId="5" borderId="1" pivotButton="0" quotePrefix="0" xfId="0"/>
    <xf numFmtId="165" fontId="5" fillId="4" borderId="1" pivotButton="0" quotePrefix="0" xfId="0"/>
    <xf numFmtId="165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34" customWidth="1" min="3" max="3"/>
    <col width="12" customWidth="1" min="4" max="4"/>
    <col width="12" customWidth="1" min="5" max="5"/>
  </cols>
  <sheetData>
    <row r="1" ht="32" customHeight="1">
      <c r="A1" s="1" t="inlineStr">
        <is>
          <t>CUSTO REAL DA SUA HORA</t>
        </is>
      </c>
    </row>
    <row r="2" ht="22" customHeight="1">
      <c r="A2" s="2" t="inlineStr">
        <is>
          <t>Preencha só as células amarelas. As verdes se calculam sozinhas. Semana 1 da trilha.</t>
        </is>
      </c>
    </row>
    <row r="4">
      <c r="A4" s="3" t="inlineStr">
        <is>
          <t>1 · QUANTO SAI DO SEU CONSULTÓRIO POR MÊS</t>
        </is>
      </c>
      <c r="B4" s="4" t="n"/>
      <c r="C4" s="4" t="n"/>
      <c r="D4" s="4" t="n"/>
      <c r="E4" s="4" t="n"/>
    </row>
    <row r="5">
      <c r="A5" s="5" t="inlineStr">
        <is>
          <t>Aluguel e condomínio</t>
        </is>
      </c>
      <c r="B5" s="6" t="n">
        <v>4500</v>
      </c>
    </row>
    <row r="6">
      <c r="A6" s="5" t="inlineStr">
        <is>
          <t>Secretária (com encargos)</t>
        </is>
      </c>
      <c r="B6" s="6" t="n">
        <v>2800</v>
      </c>
    </row>
    <row r="7">
      <c r="A7" s="5" t="inlineStr">
        <is>
          <t>Prontuário e software</t>
        </is>
      </c>
      <c r="B7" s="6" t="n">
        <v>300</v>
      </c>
    </row>
    <row r="8">
      <c r="A8" s="5" t="inlineStr">
        <is>
          <t>Contador</t>
        </is>
      </c>
      <c r="B8" s="6" t="n">
        <v>600</v>
      </c>
    </row>
    <row r="9">
      <c r="A9" s="5" t="inlineStr">
        <is>
          <t>Energia, internet, limpeza</t>
        </is>
      </c>
      <c r="B9" s="6" t="n">
        <v>700</v>
      </c>
    </row>
    <row r="10">
      <c r="A10" s="5" t="inlineStr">
        <is>
          <t>Marketing</t>
        </is>
      </c>
      <c r="B10" s="6" t="n">
        <v>1200</v>
      </c>
    </row>
    <row r="11">
      <c r="A11" s="5" t="inlineStr">
        <is>
          <t>Outros</t>
        </is>
      </c>
      <c r="B11" s="6" t="n">
        <v>0</v>
      </c>
    </row>
    <row r="12">
      <c r="A12" s="5" t="inlineStr">
        <is>
          <t>Seu pró-labore</t>
        </is>
      </c>
      <c r="B12" s="6" t="n">
        <v>25000</v>
      </c>
      <c r="C12" s="7" t="inlineStr">
        <is>
          <t>quanto VOCÊ precisa tirar por mês</t>
        </is>
      </c>
    </row>
    <row r="13">
      <c r="A13" s="8" t="inlineStr">
        <is>
          <t>Total a cobrir por mês</t>
        </is>
      </c>
      <c r="B13" s="9">
        <f>SUM(B5:B12)</f>
        <v/>
      </c>
    </row>
    <row r="15">
      <c r="A15" s="3" t="inlineStr">
        <is>
          <t>2 · QUANTAS HORAS VOCÊ REALMENTE ATENDE</t>
        </is>
      </c>
      <c r="B15" s="4" t="n"/>
      <c r="C15" s="4" t="n"/>
      <c r="D15" s="4" t="n"/>
      <c r="E15" s="4" t="n"/>
    </row>
    <row r="16">
      <c r="A16" s="5" t="inlineStr">
        <is>
          <t>Horas atendidas por semana</t>
        </is>
      </c>
      <c r="B16" s="10" t="n">
        <v>20</v>
      </c>
      <c r="C16" s="7" t="inlineStr">
        <is>
          <t>só as horas com paciente na sala, não a agenda cheia</t>
        </is>
      </c>
    </row>
    <row r="17">
      <c r="A17" s="5" t="inlineStr">
        <is>
          <t>Semanas por mês</t>
        </is>
      </c>
      <c r="B17" s="10" t="n">
        <v>4.3</v>
      </c>
    </row>
    <row r="18">
      <c r="A18" s="5" t="inlineStr">
        <is>
          <t>Horas atendidas por mês</t>
        </is>
      </c>
      <c r="B18" s="11">
        <f>B16*B17</f>
        <v/>
      </c>
    </row>
    <row r="19">
      <c r="A19" s="8" t="inlineStr">
        <is>
          <t>CUSTO DA SUA HORA</t>
        </is>
      </c>
      <c r="B19" s="9">
        <f>IF(B18=0,0,B13/B18)</f>
        <v/>
      </c>
      <c r="C19" s="7" t="inlineStr">
        <is>
          <t>abaixo disso você paga para atender, não é pago para atender</t>
        </is>
      </c>
    </row>
    <row r="21">
      <c r="A21" s="2" t="inlineStr">
        <is>
          <t>Esse número reaparece nas próximas 11 peças desta trilha — guarde ele num lugar que você não vai perder.</t>
        </is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2026-08-07T11:09:38Z</dcterms:created>
  <dcterms:modified xsi:type="dcterms:W3CDTF">2026-08-07T11:09:38Z</dcterms:modified>
</cp:coreProperties>
</file>