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color rgb="001B211E"/>
      <sz val="11"/>
    </font>
    <font>
      <name val="Calibri"/>
      <sz val="11"/>
    </font>
    <font>
      <name val="Calibri"/>
      <i val="1"/>
      <color rgb="007C857F"/>
      <sz val="9"/>
    </font>
    <font>
      <name val="Calibri"/>
      <b val="1"/>
      <color rgb="001F6B58"/>
      <sz val="13"/>
    </font>
    <font>
      <name val="Calibri"/>
      <b val="1"/>
      <color rgb="007C857F"/>
      <sz val="9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5" fillId="4" borderId="1" pivotButton="0" quotePrefix="0" xfId="0"/>
    <xf numFmtId="0" fontId="6" fillId="0" borderId="0" pivotButton="0" quotePrefix="0" xfId="0"/>
    <xf numFmtId="0" fontId="3" fillId="0" borderId="0" pivotButton="0" quotePrefix="0" xfId="0"/>
    <xf numFmtId="164" fontId="7" fillId="5" borderId="1" pivotButton="0" quotePrefix="0" xfId="0"/>
    <xf numFmtId="165" fontId="5" fillId="4" borderId="1" pivotButton="0" quotePrefix="0" xfId="0"/>
    <xf numFmtId="165" fontId="4" fillId="5" borderId="1" pivotButton="0" quotePrefix="0" xfId="0"/>
    <xf numFmtId="1" fontId="5" fillId="4" borderId="1" pivotButton="0" quotePrefix="0" xfId="0"/>
    <xf numFmtId="2" fontId="4" fillId="5" borderId="1" pivotButton="0" quotePrefix="0" xfId="0"/>
    <xf numFmtId="166" fontId="5" fillId="4" borderId="1" pivotButton="0" quotePrefix="0" xfId="0"/>
    <xf numFmtId="164" fontId="4" fillId="5" borderId="1" pivotButton="0" quotePrefix="0" xfId="0"/>
    <xf numFmtId="0" fontId="8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dxfs count="1">
    <dxf>
      <font>
        <b val="1"/>
        <color rgb="009C3226"/>
      </font>
      <fill>
        <patternFill patternType="solid">
          <fgColor rgb="00F6E2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6" customWidth="1" min="4" max="4"/>
    <col width="17" customWidth="1" min="5" max="5"/>
  </cols>
  <sheetData>
    <row r="1" ht="32" customHeight="1">
      <c r="A1" s="1" t="inlineStr">
        <is>
          <t>PRECIFICAÇÃO DO SEU PLANO DE ACOMPANHAMENTO</t>
        </is>
      </c>
    </row>
    <row r="2" ht="22" customHeight="1">
      <c r="A2" s="2" t="inlineStr">
        <is>
          <t>Preencha apenas as células AMARELAS. As verdes se calculam sozinhas. Semana 5 da trilha.</t>
        </is>
      </c>
    </row>
    <row r="4">
      <c r="A4" s="3" t="inlineStr">
        <is>
          <t>1 · QUANTO SAI DO CONSULTÓRIO POR MÊS</t>
        </is>
      </c>
      <c r="B4" s="4" t="n"/>
      <c r="C4" s="4" t="n"/>
      <c r="D4" s="4" t="n"/>
      <c r="E4" s="4" t="n"/>
    </row>
    <row r="5">
      <c r="A5" s="5" t="inlineStr">
        <is>
          <t>Aluguel e condomínio</t>
        </is>
      </c>
      <c r="B5" s="6" t="n">
        <v>4500</v>
      </c>
    </row>
    <row r="6">
      <c r="A6" s="5" t="inlineStr">
        <is>
          <t>Secretária (com encargos)</t>
        </is>
      </c>
      <c r="B6" s="6" t="n">
        <v>2800</v>
      </c>
    </row>
    <row r="7">
      <c r="A7" s="5" t="inlineStr">
        <is>
          <t>Prontuário e software</t>
        </is>
      </c>
      <c r="B7" s="6" t="n">
        <v>300</v>
      </c>
    </row>
    <row r="8">
      <c r="A8" s="5" t="inlineStr">
        <is>
          <t>Contador</t>
        </is>
      </c>
      <c r="B8" s="6" t="n">
        <v>600</v>
      </c>
    </row>
    <row r="9">
      <c r="A9" s="5" t="inlineStr">
        <is>
          <t>Energia, internet, limpeza</t>
        </is>
      </c>
      <c r="B9" s="6" t="n">
        <v>700</v>
      </c>
    </row>
    <row r="10">
      <c r="A10" s="5" t="inlineStr">
        <is>
          <t>Marketing</t>
        </is>
      </c>
      <c r="B10" s="6" t="n">
        <v>1200</v>
      </c>
    </row>
    <row r="11">
      <c r="A11" s="5" t="inlineStr">
        <is>
          <t>Outros</t>
        </is>
      </c>
      <c r="B11" s="6" t="n">
        <v>0</v>
      </c>
    </row>
    <row r="12">
      <c r="A12" s="5" t="inlineStr">
        <is>
          <t>Seu pró-labore</t>
        </is>
      </c>
      <c r="B12" s="6" t="n">
        <v>25000</v>
      </c>
      <c r="C12" s="7" t="inlineStr">
        <is>
          <t>quanto VOCÊ precisa tirar por mês</t>
        </is>
      </c>
    </row>
    <row r="13">
      <c r="A13" s="8" t="inlineStr">
        <is>
          <t>Total a cobrir por mês</t>
        </is>
      </c>
      <c r="B13" s="9">
        <f>SUM(B5:B12)</f>
        <v/>
      </c>
    </row>
    <row r="15">
      <c r="A15" s="3" t="inlineStr">
        <is>
          <t>2 · QUANTO CUSTA UMA HORA SUA</t>
        </is>
      </c>
      <c r="B15" s="4" t="n"/>
      <c r="C15" s="4" t="n"/>
      <c r="D15" s="4" t="n"/>
      <c r="E15" s="4" t="n"/>
    </row>
    <row r="16">
      <c r="A16" s="5" t="inlineStr">
        <is>
          <t>Horas atendidas por semana</t>
        </is>
      </c>
      <c r="B16" s="10" t="n">
        <v>20</v>
      </c>
      <c r="C16" s="7" t="inlineStr">
        <is>
          <t>só as horas com paciente na sala</t>
        </is>
      </c>
    </row>
    <row r="17">
      <c r="A17" s="5" t="inlineStr">
        <is>
          <t>Semanas por mês</t>
        </is>
      </c>
      <c r="B17" s="10" t="n">
        <v>4.3</v>
      </c>
    </row>
    <row r="18">
      <c r="A18" s="5" t="inlineStr">
        <is>
          <t>Horas por mês</t>
        </is>
      </c>
      <c r="B18" s="11">
        <f>B16*B17</f>
        <v/>
      </c>
    </row>
    <row r="19">
      <c r="A19" s="8" t="inlineStr">
        <is>
          <t>CUSTO DA SUA HORA</t>
        </is>
      </c>
      <c r="B19" s="9">
        <f>IF(B18=0,0,B13/B18)</f>
        <v/>
      </c>
      <c r="C19" s="7" t="inlineStr">
        <is>
          <t>abaixo disso você paga para atender</t>
        </is>
      </c>
    </row>
    <row r="21">
      <c r="A21" s="3" t="inlineStr">
        <is>
          <t>3 · QUANTO TEMPO O PLANO CONSOME</t>
        </is>
      </c>
      <c r="B21" s="4" t="n"/>
      <c r="C21" s="4" t="n"/>
      <c r="D21" s="4" t="n"/>
      <c r="E21" s="4" t="n"/>
    </row>
    <row r="22">
      <c r="A22" s="5" t="inlineStr">
        <is>
          <t>Consulta inicial (minutos)</t>
        </is>
      </c>
      <c r="B22" s="12" t="n">
        <v>60</v>
      </c>
    </row>
    <row r="23">
      <c r="A23" s="5" t="inlineStr">
        <is>
          <t>Quantidade de retornos</t>
        </is>
      </c>
      <c r="B23" s="12" t="n">
        <v>3</v>
      </c>
    </row>
    <row r="24">
      <c r="A24" s="5" t="inlineStr">
        <is>
          <t>Duração de cada retorno (min)</t>
        </is>
      </c>
      <c r="B24" s="12" t="n">
        <v>30</v>
      </c>
    </row>
    <row r="25">
      <c r="A25" s="5" t="inlineStr">
        <is>
          <t>Acompanhamento entre consultas (min)</t>
        </is>
      </c>
      <c r="B25" s="12" t="n">
        <v>60</v>
      </c>
      <c r="C25" s="7" t="inlineStr">
        <is>
          <t>mensagem, ajuste de dose, resultado de exame</t>
        </is>
      </c>
    </row>
    <row r="26">
      <c r="A26" s="5" t="inlineStr">
        <is>
          <t>Tempo total do plano (horas)</t>
        </is>
      </c>
      <c r="B26" s="13">
        <f>(B22+B23*B24+B25)/60</f>
        <v/>
      </c>
    </row>
    <row r="27">
      <c r="A27" s="8" t="inlineStr">
        <is>
          <t>CUSTO DO PLANO — seu piso</t>
        </is>
      </c>
      <c r="B27" s="9">
        <f>B26*B19</f>
        <v/>
      </c>
      <c r="C27" s="7" t="inlineStr">
        <is>
          <t>abaixo disso é prejuízo, não desconto</t>
        </is>
      </c>
    </row>
    <row r="29">
      <c r="A29" s="3" t="inlineStr">
        <is>
          <t>4 · O PREÇO</t>
        </is>
      </c>
      <c r="B29" s="4" t="n"/>
      <c r="C29" s="4" t="n"/>
      <c r="D29" s="4" t="n"/>
      <c r="E29" s="4" t="n"/>
    </row>
    <row r="30">
      <c r="A30" s="5" t="inlineStr">
        <is>
          <t>Margem desejada (%)</t>
        </is>
      </c>
      <c r="B30" s="14" t="n">
        <v>40</v>
      </c>
      <c r="C30" s="7" t="inlineStr">
        <is>
          <t>não é seu salário — o pró-labore já entrou lá em cima</t>
        </is>
      </c>
    </row>
    <row r="31">
      <c r="A31" s="5" t="inlineStr">
        <is>
          <t>Imposto sobre faturamento (%)</t>
        </is>
      </c>
      <c r="B31" s="14" t="n">
        <v>11</v>
      </c>
      <c r="C31" s="7" t="inlineStr">
        <is>
          <t>Simples costuma ficar entre 6% e 15%</t>
        </is>
      </c>
    </row>
    <row r="32">
      <c r="A32" s="5" t="inlineStr">
        <is>
          <t>Preço com margem</t>
        </is>
      </c>
      <c r="B32" s="15">
        <f>B27*(1+B30/100)</f>
        <v/>
      </c>
    </row>
    <row r="33">
      <c r="A33" s="8" t="inlineStr">
        <is>
          <t>PREÇO DE TABELA</t>
        </is>
      </c>
      <c r="B33" s="9">
        <f>IF(B31&gt;=100,0,B32/(1-B31/100))</f>
        <v/>
      </c>
    </row>
    <row r="34">
      <c r="A34" s="5" t="inlineStr">
        <is>
          <t>Como o paciente ouve (3x de)</t>
        </is>
      </c>
      <c r="B34" s="15">
        <f>B33/3</f>
        <v/>
      </c>
      <c r="C34" s="7" t="inlineStr">
        <is>
          <t>parcelou no cartão? desconte a taxa da operadora</t>
        </is>
      </c>
    </row>
    <row r="36">
      <c r="A36" s="3" t="inlineStr">
        <is>
          <t>5 · O QUE O DESCONTO FAZ COM A SUA SOBRA</t>
        </is>
      </c>
      <c r="B36" s="4" t="n"/>
      <c r="C36" s="4" t="n"/>
      <c r="D36" s="4" t="n"/>
      <c r="E36" s="4" t="n"/>
    </row>
    <row r="37">
      <c r="A37" s="16" t="inlineStr">
        <is>
          <t>Desconto</t>
        </is>
      </c>
      <c r="B37" s="16" t="inlineStr">
        <is>
          <t>Você recebe</t>
        </is>
      </c>
      <c r="C37" s="16" t="inlineStr">
        <is>
          <t>Imposto</t>
        </is>
      </c>
      <c r="D37" s="16" t="inlineStr">
        <is>
          <t>Custo do plano</t>
        </is>
      </c>
      <c r="E37" s="16" t="inlineStr">
        <is>
          <t>Sobra no bolso</t>
        </is>
      </c>
    </row>
    <row r="38">
      <c r="A38" s="17" t="n">
        <v>0</v>
      </c>
      <c r="B38" s="18">
        <f>$B$33*(1-A38)</f>
        <v/>
      </c>
      <c r="C38" s="18">
        <f>B38*$B$31/100</f>
        <v/>
      </c>
      <c r="D38" s="18">
        <f>$B$27</f>
        <v/>
      </c>
      <c r="E38" s="19">
        <f>B38-C38-D38</f>
        <v/>
      </c>
    </row>
    <row r="39">
      <c r="A39" s="17" t="n">
        <v>0.05</v>
      </c>
      <c r="B39" s="18">
        <f>$B$33*(1-A39)</f>
        <v/>
      </c>
      <c r="C39" s="18">
        <f>B39*$B$31/100</f>
        <v/>
      </c>
      <c r="D39" s="18">
        <f>$B$27</f>
        <v/>
      </c>
      <c r="E39" s="19">
        <f>B39-C39-D39</f>
        <v/>
      </c>
    </row>
    <row r="40">
      <c r="A40" s="17" t="n">
        <v>0.1</v>
      </c>
      <c r="B40" s="18">
        <f>$B$33*(1-A40)</f>
        <v/>
      </c>
      <c r="C40" s="18">
        <f>B40*$B$31/100</f>
        <v/>
      </c>
      <c r="D40" s="18">
        <f>$B$27</f>
        <v/>
      </c>
      <c r="E40" s="19">
        <f>B40-C40-D40</f>
        <v/>
      </c>
    </row>
    <row r="41">
      <c r="A41" s="17" t="n">
        <v>0.15</v>
      </c>
      <c r="B41" s="18">
        <f>$B$33*(1-A41)</f>
        <v/>
      </c>
      <c r="C41" s="18">
        <f>B41*$B$31/100</f>
        <v/>
      </c>
      <c r="D41" s="18">
        <f>$B$27</f>
        <v/>
      </c>
      <c r="E41" s="19">
        <f>B41-C41-D41</f>
        <v/>
      </c>
    </row>
    <row r="42">
      <c r="A42" s="17" t="n">
        <v>0.2</v>
      </c>
      <c r="B42" s="18">
        <f>$B$33*(1-A42)</f>
        <v/>
      </c>
      <c r="C42" s="18">
        <f>B42*$B$31/100</f>
        <v/>
      </c>
      <c r="D42" s="18">
        <f>$B$27</f>
        <v/>
      </c>
      <c r="E42" s="19">
        <f>B42-C42-D42</f>
        <v/>
      </c>
    </row>
    <row r="43">
      <c r="A43" s="17" t="n">
        <v>0.25</v>
      </c>
      <c r="B43" s="18">
        <f>$B$33*(1-A43)</f>
        <v/>
      </c>
      <c r="C43" s="18">
        <f>B43*$B$31/100</f>
        <v/>
      </c>
      <c r="D43" s="18">
        <f>$B$27</f>
        <v/>
      </c>
      <c r="E43" s="19">
        <f>B43-C43-D43</f>
        <v/>
      </c>
    </row>
    <row r="44">
      <c r="A44" s="17" t="n">
        <v>0.3</v>
      </c>
      <c r="B44" s="18">
        <f>$B$33*(1-A44)</f>
        <v/>
      </c>
      <c r="C44" s="18">
        <f>B44*$B$31/100</f>
        <v/>
      </c>
      <c r="D44" s="18">
        <f>$B$27</f>
        <v/>
      </c>
      <c r="E44" s="19">
        <f>B44-C44-D44</f>
        <v/>
      </c>
    </row>
    <row r="46">
      <c r="A46" s="2" t="inlineStr">
        <is>
          <t>Regra prática: o desconto não sai do preço, sai da sobra. Olhe a última coluna antes de conceder qualquer coisa.</t>
        </is>
      </c>
    </row>
  </sheetData>
  <mergeCells count="3">
    <mergeCell ref="A2:E2"/>
    <mergeCell ref="A1:E1"/>
    <mergeCell ref="A46:E46"/>
  </mergeCells>
  <conditionalFormatting sqref="E38:E44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2026-08-07T01:49:21Z</dcterms:created>
  <dcterms:modified xsi:type="dcterms:W3CDTF">2026-08-07T01:49:21Z</dcterms:modified>
</cp:coreProperties>
</file>