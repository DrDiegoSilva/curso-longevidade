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b val="1"/>
      <color rgb="007C857F"/>
      <sz val="9"/>
    </font>
    <font>
      <name val="Calibri"/>
      <color rgb="001B211E"/>
      <sz val="11"/>
    </font>
    <font>
      <name val="Calibri"/>
      <sz val="11"/>
    </font>
    <font>
      <name val="Calibri"/>
      <i val="1"/>
      <color rgb="007C857F"/>
      <sz val="9"/>
    </font>
    <font>
      <name val="Calibri"/>
      <color rgb="007C857F"/>
      <sz val="11"/>
    </font>
    <font>
      <name val="Calibri"/>
      <i val="1"/>
      <color rgb="007C857F"/>
      <sz val="10"/>
    </font>
    <font>
      <name val="Calibri"/>
      <b val="1"/>
      <color rgb="001F6B58"/>
      <sz val="13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1" fontId="6" fillId="4" borderId="1" pivotButton="0" quotePrefix="0" xfId="0"/>
    <xf numFmtId="164" fontId="5" fillId="5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165" fontId="5" fillId="5" borderId="1" pivotButton="0" quotePrefix="0" xfId="0"/>
    <xf numFmtId="166" fontId="6" fillId="4" borderId="1" pivotButton="0" quotePrefix="0" xfId="0"/>
    <xf numFmtId="166" fontId="10" fillId="5" borderId="1" pivotButton="0" quotePrefix="0" xfId="0"/>
    <xf numFmtId="0" fontId="6" fillId="4" borderId="1" pivotButton="0" quotePrefix="0" xfId="0"/>
  </cellXfs>
  <cellStyles count="1">
    <cellStyle name="Normal" xfId="0" builtinId="0" hidden="0"/>
  </cellStyles>
  <dxfs count="1">
    <dxf>
      <font>
        <b val="1"/>
        <color rgb="009C3226"/>
      </font>
      <fill>
        <patternFill patternType="solid">
          <fgColor rgb="00F6E2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26" customWidth="1" min="15" max="15"/>
  </cols>
  <sheetData>
    <row r="1" ht="32" customHeight="1">
      <c r="A1" s="1" t="inlineStr">
        <is>
          <t>PAINEL DO DONO</t>
        </is>
      </c>
    </row>
    <row r="2" ht="22" customHeight="1">
      <c r="A2" s="2" t="inlineStr">
        <is>
          <t>Preencha um número por mês, sempre no mesmo dia. Totais e variação calculam sozinhos. Semana 12 da trilha.</t>
        </is>
      </c>
    </row>
    <row r="4">
      <c r="A4" s="3" t="inlineStr">
        <is>
          <t>OS QUATRO NÚMEROS DO PAINEL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20" customHeight="1">
      <c r="A5" s="5" t="inlineStr">
        <is>
          <t>Indicador</t>
        </is>
      </c>
      <c r="B5" s="5" t="inlineStr">
        <is>
          <t>Jan</t>
        </is>
      </c>
      <c r="C5" s="5" t="inlineStr">
        <is>
          <t>Fev</t>
        </is>
      </c>
      <c r="D5" s="5" t="inlineStr">
        <is>
          <t>Mar</t>
        </is>
      </c>
      <c r="E5" s="5" t="inlineStr">
        <is>
          <t>Abr</t>
        </is>
      </c>
      <c r="F5" s="5" t="inlineStr">
        <is>
          <t>Mai</t>
        </is>
      </c>
      <c r="G5" s="5" t="inlineStr">
        <is>
          <t>Jun</t>
        </is>
      </c>
      <c r="H5" s="5" t="inlineStr">
        <is>
          <t>Jul</t>
        </is>
      </c>
      <c r="I5" s="5" t="inlineStr">
        <is>
          <t>Ago</t>
        </is>
      </c>
      <c r="J5" s="5" t="inlineStr">
        <is>
          <t>Set</t>
        </is>
      </c>
      <c r="K5" s="5" t="inlineStr">
        <is>
          <t>Out</t>
        </is>
      </c>
      <c r="L5" s="5" t="inlineStr">
        <is>
          <t>Nov</t>
        </is>
      </c>
      <c r="M5" s="5" t="inlineStr">
        <is>
          <t>Dez</t>
        </is>
      </c>
      <c r="N5" s="5" t="inlineStr">
        <is>
          <t>Resumo do ano</t>
        </is>
      </c>
      <c r="O5" s="5" t="inlineStr">
        <is>
          <t>Nota</t>
        </is>
      </c>
    </row>
    <row r="6">
      <c r="A6" s="6" t="inlineStr">
        <is>
          <t>Planos ativos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>
        <f>AVERAGE(B6:M6)</f>
        <v/>
      </c>
      <c r="O6" s="9" t="inlineStr">
        <is>
          <t>média mensal</t>
        </is>
      </c>
    </row>
    <row r="7">
      <c r="A7" s="10" t="inlineStr">
        <is>
          <t>Variação vs mês anterior</t>
        </is>
      </c>
      <c r="B7" s="11" t="inlineStr">
        <is>
          <t>—</t>
        </is>
      </c>
      <c r="C7" s="12">
        <f>IF(B6=0,"",(C6-B6)/B6)</f>
        <v/>
      </c>
      <c r="D7" s="12">
        <f>IF(C6=0,"",(D6-C6)/C6)</f>
        <v/>
      </c>
      <c r="E7" s="12">
        <f>IF(D6=0,"",(E6-D6)/D6)</f>
        <v/>
      </c>
      <c r="F7" s="12">
        <f>IF(E6=0,"",(F6-E6)/E6)</f>
        <v/>
      </c>
      <c r="G7" s="12">
        <f>IF(F6=0,"",(G6-F6)/F6)</f>
        <v/>
      </c>
      <c r="H7" s="12">
        <f>IF(G6=0,"",(H6-G6)/G6)</f>
        <v/>
      </c>
      <c r="I7" s="12">
        <f>IF(H6=0,"",(I6-H6)/H6)</f>
        <v/>
      </c>
      <c r="J7" s="12">
        <f>IF(I6=0,"",(J6-I6)/I6)</f>
        <v/>
      </c>
      <c r="K7" s="12">
        <f>IF(J6=0,"",(K6-J6)/J6)</f>
        <v/>
      </c>
      <c r="L7" s="12">
        <f>IF(K6=0,"",(L6-K6)/K6)</f>
        <v/>
      </c>
      <c r="M7" s="12">
        <f>IF(L6=0,"",(M6-L6)/L6)</f>
        <v/>
      </c>
    </row>
    <row r="8">
      <c r="A8" s="6" t="inlineStr">
        <is>
          <t>Entrada do mês (R$)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>
        <f>SUM(B8:M8)</f>
        <v/>
      </c>
      <c r="O8" s="9" t="inlineStr">
        <is>
          <t>total do ano</t>
        </is>
      </c>
    </row>
    <row r="9">
      <c r="A9" s="6" t="inlineStr">
        <is>
          <t>Sobra depois do custo da hora (R$)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4">
        <f>SUM(B9:M9)</f>
        <v/>
      </c>
      <c r="O9" s="9" t="inlineStr">
        <is>
          <t>total do ano</t>
        </is>
      </c>
    </row>
    <row r="10">
      <c r="A10" s="10" t="inlineStr">
        <is>
          <t>Variação da sobra vs mês anterior</t>
        </is>
      </c>
      <c r="B10" s="11" t="inlineStr">
        <is>
          <t>—</t>
        </is>
      </c>
      <c r="C10" s="12">
        <f>IF(B9=0,"",(C9-B9)/B9)</f>
        <v/>
      </c>
      <c r="D10" s="12">
        <f>IF(C9=0,"",(D9-C9)/C9)</f>
        <v/>
      </c>
      <c r="E10" s="12">
        <f>IF(D9=0,"",(E9-D9)/D9)</f>
        <v/>
      </c>
      <c r="F10" s="12">
        <f>IF(E9=0,"",(F9-E9)/E9)</f>
        <v/>
      </c>
      <c r="G10" s="12">
        <f>IF(F9=0,"",(G9-F9)/F9)</f>
        <v/>
      </c>
      <c r="H10" s="12">
        <f>IF(G9=0,"",(H9-G9)/G9)</f>
        <v/>
      </c>
      <c r="I10" s="12">
        <f>IF(H9=0,"",(I9-H9)/H9)</f>
        <v/>
      </c>
      <c r="J10" s="12">
        <f>IF(I9=0,"",(J9-I9)/I9)</f>
        <v/>
      </c>
      <c r="K10" s="12">
        <f>IF(J9=0,"",(K9-J9)/J9)</f>
        <v/>
      </c>
      <c r="L10" s="12">
        <f>IF(K9=0,"",(L9-K9)/K9)</f>
        <v/>
      </c>
      <c r="M10" s="12">
        <f>IF(L9=0,"",(M9-L9)/L9)</f>
        <v/>
      </c>
    </row>
    <row r="11">
      <c r="A11" s="6" t="inlineStr">
        <is>
          <t>Origem principal dos pacientes novos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O11" s="9" t="inlineStr">
        <is>
          <t>indicação, Instagram, Google, outro</t>
        </is>
      </c>
    </row>
    <row r="13">
      <c r="A13" s="2" t="inlineStr">
        <is>
          <t>Reserve uma hora, sem paciente na agenda, sempre no mesmo dia do mês. Um número isolado não diz muito — comparado com os últimos três ou quatro meses, ele denuncia tendência antes de virar crise.</t>
        </is>
      </c>
    </row>
  </sheetData>
  <mergeCells count="3">
    <mergeCell ref="A1:O1"/>
    <mergeCell ref="A13:O13"/>
    <mergeCell ref="A2:O2"/>
  </mergeCells>
  <conditionalFormatting sqref="B9:M9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